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ersons/person.xml" ContentType="application/vnd.ms-excel.pers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90" yWindow="525" windowWidth="19815" windowHeight="7365"/>
  </bookViews>
  <sheets>
    <sheet name="Sheet2" sheetId="2" r:id="rId1"/>
    <sheet name="Sheet1" sheetId="1" r:id="rId2"/>
  </sheets>
  <calcPr calcId="125725"/>
  <pivotCaches>
    <pivotCache cacheId="4" r:id="rId3"/>
  </pivotCaches>
</workbook>
</file>

<file path=xl/calcChain.xml><?xml version="1.0" encoding="utf-8"?>
<calcChain xmlns="http://schemas.openxmlformats.org/spreadsheetml/2006/main">
  <c r="I11" i="1"/>
  <c r="I12"/>
  <c r="I10"/>
</calcChain>
</file>

<file path=xl/sharedStrings.xml><?xml version="1.0" encoding="utf-8"?>
<sst xmlns="http://schemas.openxmlformats.org/spreadsheetml/2006/main" count="226" uniqueCount="140">
  <si>
    <t>Client Name</t>
  </si>
  <si>
    <t>Industry</t>
  </si>
  <si>
    <t>ISIN Code</t>
  </si>
  <si>
    <t>No of Factories Catered</t>
  </si>
  <si>
    <t>Revenue from Client (USD)</t>
  </si>
  <si>
    <t>Relationship Manager</t>
  </si>
  <si>
    <t>Alpha Motors Ltd</t>
  </si>
  <si>
    <t>Automobile</t>
  </si>
  <si>
    <t>INE100A01011</t>
  </si>
  <si>
    <t>Rajesh Mehta</t>
  </si>
  <si>
    <t>Beta Auto Corp</t>
  </si>
  <si>
    <t>INE101A01012</t>
  </si>
  <si>
    <t>Gamma Steel Ltd</t>
  </si>
  <si>
    <t>Steel</t>
  </si>
  <si>
    <t>INE102A01013</t>
  </si>
  <si>
    <t>Priya Nair</t>
  </si>
  <si>
    <t>Delta Infra Ltd</t>
  </si>
  <si>
    <t>Infrastructure</t>
  </si>
  <si>
    <t>INE103A01014</t>
  </si>
  <si>
    <t>Amit Sharma</t>
  </si>
  <si>
    <t>Epsilon Textiles</t>
  </si>
  <si>
    <t>Textile</t>
  </si>
  <si>
    <t>INE104A01015</t>
  </si>
  <si>
    <t>Sneha Kapoor</t>
  </si>
  <si>
    <t>Zeta Energy Ltd</t>
  </si>
  <si>
    <t>Energy</t>
  </si>
  <si>
    <t>INE105A01016</t>
  </si>
  <si>
    <t>Eta Chemicals</t>
  </si>
  <si>
    <t>Chemicals</t>
  </si>
  <si>
    <t>INE106A01017</t>
  </si>
  <si>
    <t>Karan Verma</t>
  </si>
  <si>
    <t>Theta Pharma</t>
  </si>
  <si>
    <t>Pharmaceutical</t>
  </si>
  <si>
    <t>INE107A01018</t>
  </si>
  <si>
    <t>Anjali Rao</t>
  </si>
  <si>
    <t>Iota Foods</t>
  </si>
  <si>
    <t>FMCG</t>
  </si>
  <si>
    <t>INE108A01019</t>
  </si>
  <si>
    <t>Neha Iyer</t>
  </si>
  <si>
    <t>Kappa Logistics</t>
  </si>
  <si>
    <t>Logistics</t>
  </si>
  <si>
    <t>INE109A01020</t>
  </si>
  <si>
    <t>Rohan Desai</t>
  </si>
  <si>
    <t>Lambda Motors</t>
  </si>
  <si>
    <t>INE110A01021</t>
  </si>
  <si>
    <t>Mu Engineering</t>
  </si>
  <si>
    <t>Engineering</t>
  </si>
  <si>
    <t>INE111A01022</t>
  </si>
  <si>
    <t>Nu Power Corp</t>
  </si>
  <si>
    <t>INE112A01023</t>
  </si>
  <si>
    <t>Xi Cement Ltd</t>
  </si>
  <si>
    <t>Cement</t>
  </si>
  <si>
    <t>INE113A01024</t>
  </si>
  <si>
    <t>Omicron Retail</t>
  </si>
  <si>
    <t>Retail</t>
  </si>
  <si>
    <t>INE114A01025</t>
  </si>
  <si>
    <t>Pi Electronics</t>
  </si>
  <si>
    <t>Electronics</t>
  </si>
  <si>
    <t>INE115A01026</t>
  </si>
  <si>
    <t>Rho Metals</t>
  </si>
  <si>
    <t>INE116A01027</t>
  </si>
  <si>
    <t>Sigma Packaging</t>
  </si>
  <si>
    <t>Packaging</t>
  </si>
  <si>
    <t>INE117A01028</t>
  </si>
  <si>
    <t>Tau Plastics</t>
  </si>
  <si>
    <t>Manufacturing</t>
  </si>
  <si>
    <t>INE118A01029</t>
  </si>
  <si>
    <t>Upsilon Telecom</t>
  </si>
  <si>
    <t>Telecom</t>
  </si>
  <si>
    <t>INE119A01030</t>
  </si>
  <si>
    <t>Phi Aerospace</t>
  </si>
  <si>
    <t>Aerospace</t>
  </si>
  <si>
    <t>INE120A01031</t>
  </si>
  <si>
    <t>Chi Shipping</t>
  </si>
  <si>
    <t>INE121A01032</t>
  </si>
  <si>
    <t>Psi Infrastructure</t>
  </si>
  <si>
    <t>INE122A01033</t>
  </si>
  <si>
    <t>Omega Industries</t>
  </si>
  <si>
    <t>INE123A01034</t>
  </si>
  <si>
    <t>Apex Motors</t>
  </si>
  <si>
    <t>INE124A01035</t>
  </si>
  <si>
    <t>Bright Steel</t>
  </si>
  <si>
    <t>INE125A01036</t>
  </si>
  <si>
    <t>Crystal Energy</t>
  </si>
  <si>
    <t>INE126A01037</t>
  </si>
  <si>
    <t>Dynamic Textiles</t>
  </si>
  <si>
    <t>INE127A01038</t>
  </si>
  <si>
    <t>Evergreen Pharma</t>
  </si>
  <si>
    <t>INE128A01039</t>
  </si>
  <si>
    <t>Fusion Foods</t>
  </si>
  <si>
    <t>INE129A01040</t>
  </si>
  <si>
    <t>Global Cement</t>
  </si>
  <si>
    <t>INE130A01041</t>
  </si>
  <si>
    <t>Horizon Retail</t>
  </si>
  <si>
    <t>INE131A01042</t>
  </si>
  <si>
    <t>Icon Electronics</t>
  </si>
  <si>
    <t>INE132A01043</t>
  </si>
  <si>
    <t>Jupiter Logistics</t>
  </si>
  <si>
    <t>INE133A01044</t>
  </si>
  <si>
    <t>Kingfisher Auto</t>
  </si>
  <si>
    <t>INE134A01045</t>
  </si>
  <si>
    <t>Legend Engineering</t>
  </si>
  <si>
    <t>INE135A01046</t>
  </si>
  <si>
    <t>Matrix Power</t>
  </si>
  <si>
    <t>INE136A01047</t>
  </si>
  <si>
    <t>Nova Chemicals</t>
  </si>
  <si>
    <t>INE137A01048</t>
  </si>
  <si>
    <t>Orbit Packaging</t>
  </si>
  <si>
    <t>INE138A01049</t>
  </si>
  <si>
    <t>Prime Plastics</t>
  </si>
  <si>
    <t>INE139A01050</t>
  </si>
  <si>
    <t>Quantum Telecom</t>
  </si>
  <si>
    <t>INE140A01051</t>
  </si>
  <si>
    <t>Rapid Aerospace</t>
  </si>
  <si>
    <t>INE141A01052</t>
  </si>
  <si>
    <t>Summit Shipping</t>
  </si>
  <si>
    <t>INE142A01053</t>
  </si>
  <si>
    <t>Titan Metals</t>
  </si>
  <si>
    <t>INE143A01054</t>
  </si>
  <si>
    <t>Unity Infra</t>
  </si>
  <si>
    <t>INE144A01055</t>
  </si>
  <si>
    <t>Vertex Motors</t>
  </si>
  <si>
    <t>INE145A01056</t>
  </si>
  <si>
    <t>Wave Foods</t>
  </si>
  <si>
    <t>INE146A01057</t>
  </si>
  <si>
    <t>Xpress Cement</t>
  </si>
  <si>
    <t>INE147A01058</t>
  </si>
  <si>
    <t>Yield Energy</t>
  </si>
  <si>
    <t>INE148A01059</t>
  </si>
  <si>
    <t>Zenith Industries</t>
  </si>
  <si>
    <t>INE149A01060</t>
  </si>
  <si>
    <t>Analyse by revenue generation from each industies</t>
  </si>
  <si>
    <t>Row Labels</t>
  </si>
  <si>
    <t>Grand Total</t>
  </si>
  <si>
    <t>Analys the number clients in each industies</t>
  </si>
  <si>
    <t>Analyse the total revenue generated from this batch</t>
  </si>
  <si>
    <t>How many students we have in this batch</t>
  </si>
  <si>
    <t>Which RM is bringing how much revenue to the company</t>
  </si>
  <si>
    <t>Find top 5 RM</t>
  </si>
  <si>
    <t>Average of Revenue from Client (USD)</t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</si>
</sst>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0" fillId="0" borderId="0" xfId="0" applyAlignment="1"/>
    <xf numFmtId="2" fontId="0" fillId="0" borderId="0" xfId="0" applyNumberFormat="1" applyFont="1" applyAlignment="1"/>
  </cellXfs>
  <cellStyles count="1">
    <cellStyle name="Normal" xfId="0" builtinId="0"/>
  </cellStyles>
  <dxfs count="3">
    <dxf>
      <numFmt numFmtId="2" formatCode="0.00"/>
    </dxf>
    <dxf>
      <numFmt numFmtId="2" formatCode="0.00"/>
    </dxf>
    <dxf>
      <numFmt numFmtId="2" formatCode="0.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udit Computer" refreshedDate="46080.251621990741" createdVersion="3" refreshedVersion="3" minRefreshableVersion="3" recordCount="50">
  <cacheSource type="worksheet">
    <worksheetSource ref="A1:F51" sheet="Sheet1"/>
  </cacheSource>
  <cacheFields count="6">
    <cacheField name="Client Name" numFmtId="0">
      <sharedItems/>
    </cacheField>
    <cacheField name="Industry" numFmtId="0">
      <sharedItems count="17">
        <s v="Automobile"/>
        <s v="Steel"/>
        <s v="Infrastructure"/>
        <s v="Textile"/>
        <s v="Energy"/>
        <s v="Chemicals"/>
        <s v="Pharmaceutical"/>
        <s v="FMCG"/>
        <s v="Logistics"/>
        <s v="Engineering"/>
        <s v="Cement"/>
        <s v="Retail"/>
        <s v="Electronics"/>
        <s v="Packaging"/>
        <s v="Manufacturing"/>
        <s v="Telecom"/>
        <s v="Aerospace"/>
      </sharedItems>
    </cacheField>
    <cacheField name="ISIN Code" numFmtId="0">
      <sharedItems/>
    </cacheField>
    <cacheField name="No of Factories Catered" numFmtId="0">
      <sharedItems containsSemiMixedTypes="0" containsString="0" containsNumber="1" containsInteger="1" minValue="3" maxValue="18"/>
    </cacheField>
    <cacheField name="Revenue from Client (USD)" numFmtId="0">
      <sharedItems containsSemiMixedTypes="0" containsString="0" containsNumber="1" containsInteger="1" minValue="1750000" maxValue="8900000" count="43">
        <n v="4500000"/>
        <n v="3200000"/>
        <n v="6100000"/>
        <n v="2800000"/>
        <n v="3500000"/>
        <n v="8750000"/>
        <n v="2950000"/>
        <n v="2600000"/>
        <n v="4100000"/>
        <n v="1900000"/>
        <n v="3900000"/>
        <n v="5200000"/>
        <n v="7300000"/>
        <n v="6400000"/>
        <n v="1750000"/>
        <n v="3100000"/>
        <n v="4800000"/>
        <n v="2250000"/>
        <n v="4550000"/>
        <n v="3400000"/>
        <n v="3700000"/>
        <n v="8200000"/>
        <n v="4000000"/>
        <n v="2900000"/>
        <n v="5900000"/>
        <n v="7600000"/>
        <n v="3300000"/>
        <n v="2500000"/>
        <n v="3600000"/>
        <n v="6700000"/>
        <n v="2100000"/>
        <n v="3000000"/>
        <n v="4200000"/>
        <n v="5000000"/>
        <n v="8900000"/>
        <n v="2400000"/>
        <n v="4700000"/>
        <n v="1800000"/>
        <n v="7100000"/>
        <n v="6800000"/>
        <n v="5600000"/>
        <n v="8400000"/>
        <n v="4300000"/>
      </sharedItems>
    </cacheField>
    <cacheField name="Relationship Manager" numFmtId="0">
      <sharedItems count="8">
        <s v="Rajesh Mehta"/>
        <s v="Priya Nair"/>
        <s v="Amit Sharma"/>
        <s v="Sneha Kapoor"/>
        <s v="Karan Verma"/>
        <s v="Anjali Rao"/>
        <s v="Neha Iyer"/>
        <s v="Rohan Desai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s v="Alpha Motors Ltd"/>
    <x v="0"/>
    <s v="INE100A01011"/>
    <n v="12"/>
    <x v="0"/>
    <x v="0"/>
  </r>
  <r>
    <s v="Beta Auto Corp"/>
    <x v="0"/>
    <s v="INE101A01012"/>
    <n v="8"/>
    <x v="1"/>
    <x v="0"/>
  </r>
  <r>
    <s v="Gamma Steel Ltd"/>
    <x v="1"/>
    <s v="INE102A01013"/>
    <n v="15"/>
    <x v="2"/>
    <x v="1"/>
  </r>
  <r>
    <s v="Delta Infra Ltd"/>
    <x v="2"/>
    <s v="INE103A01014"/>
    <n v="6"/>
    <x v="3"/>
    <x v="2"/>
  </r>
  <r>
    <s v="Epsilon Textiles"/>
    <x v="3"/>
    <s v="INE104A01015"/>
    <n v="9"/>
    <x v="4"/>
    <x v="3"/>
  </r>
  <r>
    <s v="Zeta Energy Ltd"/>
    <x v="4"/>
    <s v="INE105A01016"/>
    <n v="18"/>
    <x v="5"/>
    <x v="2"/>
  </r>
  <r>
    <s v="Eta Chemicals"/>
    <x v="5"/>
    <s v="INE106A01017"/>
    <n v="7"/>
    <x v="6"/>
    <x v="4"/>
  </r>
  <r>
    <s v="Theta Pharma"/>
    <x v="6"/>
    <s v="INE107A01018"/>
    <n v="5"/>
    <x v="7"/>
    <x v="5"/>
  </r>
  <r>
    <s v="Iota Foods"/>
    <x v="7"/>
    <s v="INE108A01019"/>
    <n v="11"/>
    <x v="8"/>
    <x v="6"/>
  </r>
  <r>
    <s v="Kappa Logistics"/>
    <x v="8"/>
    <s v="INE109A01020"/>
    <n v="4"/>
    <x v="9"/>
    <x v="7"/>
  </r>
  <r>
    <s v="Lambda Motors"/>
    <x v="0"/>
    <s v="INE110A01021"/>
    <n v="10"/>
    <x v="10"/>
    <x v="0"/>
  </r>
  <r>
    <s v="Mu Engineering"/>
    <x v="9"/>
    <s v="INE111A01022"/>
    <n v="13"/>
    <x v="11"/>
    <x v="1"/>
  </r>
  <r>
    <s v="Nu Power Corp"/>
    <x v="4"/>
    <s v="INE112A01023"/>
    <n v="16"/>
    <x v="12"/>
    <x v="2"/>
  </r>
  <r>
    <s v="Xi Cement Ltd"/>
    <x v="10"/>
    <s v="INE113A01024"/>
    <n v="14"/>
    <x v="13"/>
    <x v="3"/>
  </r>
  <r>
    <s v="Omicron Retail"/>
    <x v="11"/>
    <s v="INE114A01025"/>
    <n v="3"/>
    <x v="14"/>
    <x v="4"/>
  </r>
  <r>
    <s v="Pi Electronics"/>
    <x v="12"/>
    <s v="INE115A01026"/>
    <n v="6"/>
    <x v="15"/>
    <x v="5"/>
  </r>
  <r>
    <s v="Rho Metals"/>
    <x v="1"/>
    <s v="INE116A01027"/>
    <n v="12"/>
    <x v="16"/>
    <x v="7"/>
  </r>
  <r>
    <s v="Sigma Packaging"/>
    <x v="13"/>
    <s v="INE117A01028"/>
    <n v="7"/>
    <x v="7"/>
    <x v="6"/>
  </r>
  <r>
    <s v="Tau Plastics"/>
    <x v="14"/>
    <s v="INE118A01029"/>
    <n v="5"/>
    <x v="17"/>
    <x v="0"/>
  </r>
  <r>
    <s v="Upsilon Telecom"/>
    <x v="15"/>
    <s v="INE119A01030"/>
    <n v="9"/>
    <x v="18"/>
    <x v="1"/>
  </r>
  <r>
    <s v="Phi Aerospace"/>
    <x v="16"/>
    <s v="INE120A01031"/>
    <n v="4"/>
    <x v="19"/>
    <x v="2"/>
  </r>
  <r>
    <s v="Chi Shipping"/>
    <x v="8"/>
    <s v="INE121A01032"/>
    <n v="8"/>
    <x v="20"/>
    <x v="3"/>
  </r>
  <r>
    <s v="Psi Infrastructure"/>
    <x v="2"/>
    <s v="INE122A01033"/>
    <n v="17"/>
    <x v="21"/>
    <x v="4"/>
  </r>
  <r>
    <s v="Omega Industries"/>
    <x v="14"/>
    <s v="INE123A01034"/>
    <n v="10"/>
    <x v="22"/>
    <x v="5"/>
  </r>
  <r>
    <s v="Apex Motors"/>
    <x v="0"/>
    <s v="INE124A01035"/>
    <n v="6"/>
    <x v="23"/>
    <x v="7"/>
  </r>
  <r>
    <s v="Bright Steel"/>
    <x v="1"/>
    <s v="INE125A01036"/>
    <n v="13"/>
    <x v="24"/>
    <x v="6"/>
  </r>
  <r>
    <s v="Crystal Energy"/>
    <x v="4"/>
    <s v="INE126A01037"/>
    <n v="15"/>
    <x v="25"/>
    <x v="0"/>
  </r>
  <r>
    <s v="Dynamic Textiles"/>
    <x v="3"/>
    <s v="INE127A01038"/>
    <n v="9"/>
    <x v="26"/>
    <x v="1"/>
  </r>
  <r>
    <s v="Evergreen Pharma"/>
    <x v="6"/>
    <s v="INE128A01039"/>
    <n v="5"/>
    <x v="27"/>
    <x v="2"/>
  </r>
  <r>
    <s v="Fusion Foods"/>
    <x v="7"/>
    <s v="INE129A01040"/>
    <n v="8"/>
    <x v="28"/>
    <x v="3"/>
  </r>
  <r>
    <s v="Global Cement"/>
    <x v="10"/>
    <s v="INE130A01041"/>
    <n v="14"/>
    <x v="29"/>
    <x v="4"/>
  </r>
  <r>
    <s v="Horizon Retail"/>
    <x v="11"/>
    <s v="INE131A01042"/>
    <n v="4"/>
    <x v="30"/>
    <x v="5"/>
  </r>
  <r>
    <s v="Icon Electronics"/>
    <x v="12"/>
    <s v="INE132A01043"/>
    <n v="7"/>
    <x v="31"/>
    <x v="7"/>
  </r>
  <r>
    <s v="Jupiter Logistics"/>
    <x v="8"/>
    <s v="INE133A01044"/>
    <n v="6"/>
    <x v="3"/>
    <x v="6"/>
  </r>
  <r>
    <s v="Kingfisher Auto"/>
    <x v="0"/>
    <s v="INE134A01045"/>
    <n v="11"/>
    <x v="32"/>
    <x v="0"/>
  </r>
  <r>
    <s v="Legend Engineering"/>
    <x v="9"/>
    <s v="INE135A01046"/>
    <n v="12"/>
    <x v="33"/>
    <x v="1"/>
  </r>
  <r>
    <s v="Matrix Power"/>
    <x v="4"/>
    <s v="INE136A01047"/>
    <n v="18"/>
    <x v="34"/>
    <x v="2"/>
  </r>
  <r>
    <s v="Nova Chemicals"/>
    <x v="5"/>
    <s v="INE137A01048"/>
    <n v="9"/>
    <x v="19"/>
    <x v="3"/>
  </r>
  <r>
    <s v="Orbit Packaging"/>
    <x v="13"/>
    <s v="INE138A01049"/>
    <n v="5"/>
    <x v="35"/>
    <x v="4"/>
  </r>
  <r>
    <s v="Prime Plastics"/>
    <x v="14"/>
    <s v="INE139A01050"/>
    <n v="6"/>
    <x v="7"/>
    <x v="5"/>
  </r>
  <r>
    <s v="Quantum Telecom"/>
    <x v="15"/>
    <s v="INE140A01051"/>
    <n v="10"/>
    <x v="36"/>
    <x v="7"/>
  </r>
  <r>
    <s v="Rapid Aerospace"/>
    <x v="16"/>
    <s v="INE141A01052"/>
    <n v="3"/>
    <x v="37"/>
    <x v="6"/>
  </r>
  <r>
    <s v="Summit Shipping"/>
    <x v="8"/>
    <s v="INE142A01053"/>
    <n v="8"/>
    <x v="4"/>
    <x v="0"/>
  </r>
  <r>
    <s v="Titan Metals"/>
    <x v="1"/>
    <s v="INE143A01054"/>
    <n v="16"/>
    <x v="38"/>
    <x v="1"/>
  </r>
  <r>
    <s v="Unity Infra"/>
    <x v="2"/>
    <s v="INE144A01055"/>
    <n v="14"/>
    <x v="39"/>
    <x v="2"/>
  </r>
  <r>
    <s v="Vertex Motors"/>
    <x v="0"/>
    <s v="INE145A01056"/>
    <n v="7"/>
    <x v="15"/>
    <x v="3"/>
  </r>
  <r>
    <s v="Wave Foods"/>
    <x v="7"/>
    <s v="INE146A01057"/>
    <n v="9"/>
    <x v="10"/>
    <x v="4"/>
  </r>
  <r>
    <s v="Xpress Cement"/>
    <x v="10"/>
    <s v="INE147A01058"/>
    <n v="12"/>
    <x v="40"/>
    <x v="5"/>
  </r>
  <r>
    <s v="Yield Energy"/>
    <x v="4"/>
    <s v="INE148A01059"/>
    <n v="17"/>
    <x v="41"/>
    <x v="7"/>
  </r>
  <r>
    <s v="Zenith Industries"/>
    <x v="14"/>
    <s v="INE149A01060"/>
    <n v="11"/>
    <x v="42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A3:B12" firstHeaderRow="1" firstDataRow="1" firstDataCol="1"/>
  <pivotFields count="6">
    <pivotField showAll="0"/>
    <pivotField showAll="0">
      <items count="18">
        <item x="16"/>
        <item x="0"/>
        <item x="10"/>
        <item x="5"/>
        <item x="12"/>
        <item x="4"/>
        <item x="9"/>
        <item x="7"/>
        <item x="2"/>
        <item x="8"/>
        <item x="14"/>
        <item x="13"/>
        <item x="6"/>
        <item x="11"/>
        <item x="1"/>
        <item x="15"/>
        <item x="3"/>
        <item t="default"/>
      </items>
    </pivotField>
    <pivotField showAll="0"/>
    <pivotField showAll="0"/>
    <pivotField dataField="1" showAll="0">
      <items count="44">
        <item x="14"/>
        <item x="37"/>
        <item x="9"/>
        <item x="30"/>
        <item x="17"/>
        <item x="35"/>
        <item x="27"/>
        <item x="7"/>
        <item x="3"/>
        <item x="23"/>
        <item x="6"/>
        <item x="31"/>
        <item x="15"/>
        <item x="1"/>
        <item x="26"/>
        <item x="19"/>
        <item x="4"/>
        <item x="28"/>
        <item x="20"/>
        <item x="10"/>
        <item x="22"/>
        <item x="8"/>
        <item x="32"/>
        <item x="42"/>
        <item x="0"/>
        <item x="18"/>
        <item x="36"/>
        <item x="16"/>
        <item x="33"/>
        <item x="11"/>
        <item x="40"/>
        <item x="24"/>
        <item x="2"/>
        <item x="13"/>
        <item x="29"/>
        <item x="39"/>
        <item x="38"/>
        <item x="12"/>
        <item x="25"/>
        <item x="21"/>
        <item x="41"/>
        <item x="5"/>
        <item x="34"/>
        <item t="default"/>
      </items>
    </pivotField>
    <pivotField axis="axisRow" showAll="0" sortType="descending">
      <items count="9">
        <item x="2"/>
        <item x="5"/>
        <item x="4"/>
        <item x="6"/>
        <item x="1"/>
        <item x="0"/>
        <item x="7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5"/>
  </rowFields>
  <rowItems count="9">
    <i>
      <x/>
    </i>
    <i>
      <x v="4"/>
    </i>
    <i>
      <x v="2"/>
    </i>
    <i>
      <x v="6"/>
    </i>
    <i>
      <x v="5"/>
    </i>
    <i>
      <x v="7"/>
    </i>
    <i>
      <x v="3"/>
    </i>
    <i>
      <x v="1"/>
    </i>
    <i t="grand">
      <x/>
    </i>
  </rowItems>
  <colItems count="1">
    <i/>
  </colItems>
  <dataFields count="1">
    <dataField name="Average of Revenue from Client (USD)" fld="4" subtotal="average" baseField="0" baseItem="0"/>
  </dataFields>
  <formats count="1">
    <format dxfId="2">
      <pivotArea collapsedLevelsAreSubtotals="1" fieldPosition="0">
        <references count="1">
          <reference field="5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B33"/>
  <sheetViews>
    <sheetView tabSelected="1" workbookViewId="0">
      <selection activeCell="B8" sqref="B8"/>
    </sheetView>
  </sheetViews>
  <sheetFormatPr defaultRowHeight="12.75"/>
  <cols>
    <col min="1" max="1" width="13.85546875" customWidth="1"/>
    <col min="2" max="2" width="36.42578125" customWidth="1"/>
    <col min="3" max="3" width="20.5703125" bestFit="1" customWidth="1"/>
    <col min="4" max="4" width="20.85546875" customWidth="1"/>
    <col min="5" max="44" width="8" bestFit="1" customWidth="1"/>
    <col min="45" max="45" width="11.7109375" bestFit="1" customWidth="1"/>
  </cols>
  <sheetData>
    <row r="3" spans="1:2">
      <c r="A3" s="6" t="s">
        <v>132</v>
      </c>
      <c r="B3" t="s">
        <v>139</v>
      </c>
    </row>
    <row r="4" spans="1:2">
      <c r="A4" s="7" t="s">
        <v>19</v>
      </c>
      <c r="B4" s="10">
        <v>5778571.4285714282</v>
      </c>
    </row>
    <row r="5" spans="1:2">
      <c r="A5" s="7" t="s">
        <v>15</v>
      </c>
      <c r="B5" s="10">
        <v>5208333.333333333</v>
      </c>
    </row>
    <row r="6" spans="1:2">
      <c r="A6" s="7" t="s">
        <v>30</v>
      </c>
      <c r="B6" s="10">
        <v>4316666.666666667</v>
      </c>
    </row>
    <row r="7" spans="1:2">
      <c r="A7" s="7" t="s">
        <v>42</v>
      </c>
      <c r="B7" s="10">
        <v>4283333.333333333</v>
      </c>
    </row>
    <row r="8" spans="1:2">
      <c r="A8" s="7" t="s">
        <v>9</v>
      </c>
      <c r="B8" s="10">
        <v>4164285.7142857141</v>
      </c>
    </row>
    <row r="9" spans="1:2">
      <c r="A9" s="7" t="s">
        <v>23</v>
      </c>
      <c r="B9" s="10">
        <v>3950000</v>
      </c>
    </row>
    <row r="10" spans="1:2">
      <c r="A10" s="7" t="s">
        <v>38</v>
      </c>
      <c r="B10" s="10">
        <v>3583333.3333333335</v>
      </c>
    </row>
    <row r="11" spans="1:2">
      <c r="A11" s="7" t="s">
        <v>34</v>
      </c>
      <c r="B11" s="10">
        <v>3333333.3333333335</v>
      </c>
    </row>
    <row r="12" spans="1:2">
      <c r="A12" s="7" t="s">
        <v>133</v>
      </c>
      <c r="B12" s="8">
        <v>4353000</v>
      </c>
    </row>
    <row r="26" spans="2:2">
      <c r="B26" s="9" t="s">
        <v>134</v>
      </c>
    </row>
    <row r="28" spans="2:2">
      <c r="B28" s="9" t="s">
        <v>135</v>
      </c>
    </row>
    <row r="29" spans="2:2">
      <c r="B29" s="9" t="s">
        <v>136</v>
      </c>
    </row>
    <row r="32" spans="2:2">
      <c r="B32" s="9" t="s">
        <v>137</v>
      </c>
    </row>
    <row r="33" spans="2:2">
      <c r="B33" s="9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Z1000"/>
  <sheetViews>
    <sheetView workbookViewId="0">
      <selection sqref="A1:F51"/>
    </sheetView>
  </sheetViews>
  <sheetFormatPr defaultColWidth="12.5703125" defaultRowHeight="15.75" customHeight="1"/>
  <cols>
    <col min="1" max="1" width="40.42578125" customWidth="1"/>
    <col min="3" max="3" width="22.42578125" customWidth="1"/>
    <col min="4" max="4" width="21.5703125" customWidth="1"/>
    <col min="5" max="5" width="32.7109375" customWidth="1"/>
    <col min="6" max="6" width="24.4257812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6</v>
      </c>
      <c r="B2" s="3" t="s">
        <v>7</v>
      </c>
      <c r="C2" s="3" t="s">
        <v>8</v>
      </c>
      <c r="D2" s="3">
        <v>12</v>
      </c>
      <c r="E2" s="3">
        <v>4500000</v>
      </c>
      <c r="F2" s="3" t="s">
        <v>9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3" t="s">
        <v>10</v>
      </c>
      <c r="B3" s="3" t="s">
        <v>7</v>
      </c>
      <c r="C3" s="3" t="s">
        <v>11</v>
      </c>
      <c r="D3" s="3">
        <v>8</v>
      </c>
      <c r="E3" s="3">
        <v>3200000</v>
      </c>
      <c r="F3" s="3" t="s">
        <v>9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3" t="s">
        <v>12</v>
      </c>
      <c r="B4" s="3" t="s">
        <v>13</v>
      </c>
      <c r="C4" s="3" t="s">
        <v>14</v>
      </c>
      <c r="D4" s="3">
        <v>15</v>
      </c>
      <c r="E4" s="3">
        <v>6100000</v>
      </c>
      <c r="F4" s="3" t="s">
        <v>15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3" t="s">
        <v>16</v>
      </c>
      <c r="B5" s="3" t="s">
        <v>17</v>
      </c>
      <c r="C5" s="3" t="s">
        <v>18</v>
      </c>
      <c r="D5" s="3">
        <v>6</v>
      </c>
      <c r="E5" s="3">
        <v>2800000</v>
      </c>
      <c r="F5" s="3" t="s">
        <v>19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3" t="s">
        <v>20</v>
      </c>
      <c r="B6" s="3" t="s">
        <v>21</v>
      </c>
      <c r="C6" s="3" t="s">
        <v>22</v>
      </c>
      <c r="D6" s="3">
        <v>9</v>
      </c>
      <c r="E6" s="3">
        <v>3500000</v>
      </c>
      <c r="F6" s="3" t="s">
        <v>23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3" t="s">
        <v>24</v>
      </c>
      <c r="B7" s="3" t="s">
        <v>25</v>
      </c>
      <c r="C7" s="3" t="s">
        <v>26</v>
      </c>
      <c r="D7" s="3">
        <v>18</v>
      </c>
      <c r="E7" s="3">
        <v>8750000</v>
      </c>
      <c r="F7" s="3" t="s">
        <v>19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3" t="s">
        <v>27</v>
      </c>
      <c r="B8" s="3" t="s">
        <v>28</v>
      </c>
      <c r="C8" s="3" t="s">
        <v>29</v>
      </c>
      <c r="D8" s="3">
        <v>7</v>
      </c>
      <c r="E8" s="3">
        <v>2950000</v>
      </c>
      <c r="F8" s="3" t="s">
        <v>30</v>
      </c>
      <c r="G8" s="4"/>
      <c r="H8" s="5" t="s">
        <v>131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3" t="s">
        <v>31</v>
      </c>
      <c r="B9" s="3" t="s">
        <v>32</v>
      </c>
      <c r="C9" s="3" t="s">
        <v>33</v>
      </c>
      <c r="D9" s="3">
        <v>5</v>
      </c>
      <c r="E9" s="3">
        <v>2600000</v>
      </c>
      <c r="F9" s="3" t="s">
        <v>34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3" t="s">
        <v>35</v>
      </c>
      <c r="B10" s="3" t="s">
        <v>36</v>
      </c>
      <c r="C10" s="3" t="s">
        <v>37</v>
      </c>
      <c r="D10" s="3">
        <v>11</v>
      </c>
      <c r="E10" s="3">
        <v>4100000</v>
      </c>
      <c r="F10" s="3" t="s">
        <v>38</v>
      </c>
      <c r="G10" s="4"/>
      <c r="H10" s="4" t="s">
        <v>7</v>
      </c>
      <c r="I10" s="5">
        <f>SUMIF($B$2:$B$51, H10,$E$2:$E$51)</f>
        <v>21800000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3" t="s">
        <v>39</v>
      </c>
      <c r="B11" s="3" t="s">
        <v>40</v>
      </c>
      <c r="C11" s="3" t="s">
        <v>41</v>
      </c>
      <c r="D11" s="3">
        <v>4</v>
      </c>
      <c r="E11" s="3">
        <v>1900000</v>
      </c>
      <c r="F11" s="3" t="s">
        <v>42</v>
      </c>
      <c r="G11" s="4"/>
      <c r="H11" s="4" t="s">
        <v>28</v>
      </c>
      <c r="I11" s="5">
        <f t="shared" ref="I11:I12" si="0">SUMIF($B$2:$B$51, H11,$E$2:$E$51)</f>
        <v>6350000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3" t="s">
        <v>43</v>
      </c>
      <c r="B12" s="3" t="s">
        <v>7</v>
      </c>
      <c r="C12" s="3" t="s">
        <v>44</v>
      </c>
      <c r="D12" s="3">
        <v>10</v>
      </c>
      <c r="E12" s="3">
        <v>3900000</v>
      </c>
      <c r="F12" s="3" t="s">
        <v>9</v>
      </c>
      <c r="G12" s="4"/>
      <c r="H12" s="4" t="s">
        <v>46</v>
      </c>
      <c r="I12" s="5">
        <f t="shared" si="0"/>
        <v>10200000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3" t="s">
        <v>45</v>
      </c>
      <c r="B13" s="3" t="s">
        <v>46</v>
      </c>
      <c r="C13" s="3" t="s">
        <v>47</v>
      </c>
      <c r="D13" s="3">
        <v>13</v>
      </c>
      <c r="E13" s="3">
        <v>5200000</v>
      </c>
      <c r="F13" s="3" t="s">
        <v>15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3" t="s">
        <v>48</v>
      </c>
      <c r="B14" s="3" t="s">
        <v>25</v>
      </c>
      <c r="C14" s="3" t="s">
        <v>49</v>
      </c>
      <c r="D14" s="3">
        <v>16</v>
      </c>
      <c r="E14" s="3">
        <v>7300000</v>
      </c>
      <c r="F14" s="3" t="s">
        <v>19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3" t="s">
        <v>50</v>
      </c>
      <c r="B15" s="3" t="s">
        <v>51</v>
      </c>
      <c r="C15" s="3" t="s">
        <v>52</v>
      </c>
      <c r="D15" s="3">
        <v>14</v>
      </c>
      <c r="E15" s="3">
        <v>6400000</v>
      </c>
      <c r="F15" s="3" t="s">
        <v>23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3" t="s">
        <v>53</v>
      </c>
      <c r="B16" s="3" t="s">
        <v>54</v>
      </c>
      <c r="C16" s="3" t="s">
        <v>55</v>
      </c>
      <c r="D16" s="3">
        <v>3</v>
      </c>
      <c r="E16" s="3">
        <v>1750000</v>
      </c>
      <c r="F16" s="3" t="s">
        <v>30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3" t="s">
        <v>56</v>
      </c>
      <c r="B17" s="3" t="s">
        <v>57</v>
      </c>
      <c r="C17" s="3" t="s">
        <v>58</v>
      </c>
      <c r="D17" s="3">
        <v>6</v>
      </c>
      <c r="E17" s="3">
        <v>3100000</v>
      </c>
      <c r="F17" s="3" t="s">
        <v>34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3" t="s">
        <v>59</v>
      </c>
      <c r="B18" s="3" t="s">
        <v>13</v>
      </c>
      <c r="C18" s="3" t="s">
        <v>60</v>
      </c>
      <c r="D18" s="3">
        <v>12</v>
      </c>
      <c r="E18" s="3">
        <v>4800000</v>
      </c>
      <c r="F18" s="3" t="s">
        <v>42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3" t="s">
        <v>61</v>
      </c>
      <c r="B19" s="3" t="s">
        <v>62</v>
      </c>
      <c r="C19" s="3" t="s">
        <v>63</v>
      </c>
      <c r="D19" s="3">
        <v>7</v>
      </c>
      <c r="E19" s="3">
        <v>2600000</v>
      </c>
      <c r="F19" s="3" t="s">
        <v>38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3" t="s">
        <v>64</v>
      </c>
      <c r="B20" s="3" t="s">
        <v>65</v>
      </c>
      <c r="C20" s="3" t="s">
        <v>66</v>
      </c>
      <c r="D20" s="3">
        <v>5</v>
      </c>
      <c r="E20" s="3">
        <v>2250000</v>
      </c>
      <c r="F20" s="3" t="s">
        <v>9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3" t="s">
        <v>67</v>
      </c>
      <c r="B21" s="3" t="s">
        <v>68</v>
      </c>
      <c r="C21" s="3" t="s">
        <v>69</v>
      </c>
      <c r="D21" s="3">
        <v>9</v>
      </c>
      <c r="E21" s="3">
        <v>4550000</v>
      </c>
      <c r="F21" s="3" t="s">
        <v>15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3" t="s">
        <v>70</v>
      </c>
      <c r="B22" s="3" t="s">
        <v>71</v>
      </c>
      <c r="C22" s="3" t="s">
        <v>72</v>
      </c>
      <c r="D22" s="3">
        <v>4</v>
      </c>
      <c r="E22" s="3">
        <v>3400000</v>
      </c>
      <c r="F22" s="3" t="s">
        <v>19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3" t="s">
        <v>73</v>
      </c>
      <c r="B23" s="3" t="s">
        <v>40</v>
      </c>
      <c r="C23" s="3" t="s">
        <v>74</v>
      </c>
      <c r="D23" s="3">
        <v>8</v>
      </c>
      <c r="E23" s="3">
        <v>3700000</v>
      </c>
      <c r="F23" s="3" t="s">
        <v>23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3" t="s">
        <v>75</v>
      </c>
      <c r="B24" s="3" t="s">
        <v>17</v>
      </c>
      <c r="C24" s="3" t="s">
        <v>76</v>
      </c>
      <c r="D24" s="3">
        <v>17</v>
      </c>
      <c r="E24" s="3">
        <v>8200000</v>
      </c>
      <c r="F24" s="3" t="s">
        <v>30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3" t="s">
        <v>77</v>
      </c>
      <c r="B25" s="3" t="s">
        <v>65</v>
      </c>
      <c r="C25" s="3" t="s">
        <v>78</v>
      </c>
      <c r="D25" s="3">
        <v>10</v>
      </c>
      <c r="E25" s="3">
        <v>4000000</v>
      </c>
      <c r="F25" s="3" t="s">
        <v>34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3" t="s">
        <v>79</v>
      </c>
      <c r="B26" s="3" t="s">
        <v>7</v>
      </c>
      <c r="C26" s="3" t="s">
        <v>80</v>
      </c>
      <c r="D26" s="3">
        <v>6</v>
      </c>
      <c r="E26" s="3">
        <v>2900000</v>
      </c>
      <c r="F26" s="3" t="s">
        <v>42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3" t="s">
        <v>81</v>
      </c>
      <c r="B27" s="3" t="s">
        <v>13</v>
      </c>
      <c r="C27" s="3" t="s">
        <v>82</v>
      </c>
      <c r="D27" s="3">
        <v>13</v>
      </c>
      <c r="E27" s="3">
        <v>5900000</v>
      </c>
      <c r="F27" s="3" t="s">
        <v>38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3" t="s">
        <v>83</v>
      </c>
      <c r="B28" s="3" t="s">
        <v>25</v>
      </c>
      <c r="C28" s="3" t="s">
        <v>84</v>
      </c>
      <c r="D28" s="3">
        <v>15</v>
      </c>
      <c r="E28" s="3">
        <v>7600000</v>
      </c>
      <c r="F28" s="3" t="s">
        <v>9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3" t="s">
        <v>85</v>
      </c>
      <c r="B29" s="3" t="s">
        <v>21</v>
      </c>
      <c r="C29" s="3" t="s">
        <v>86</v>
      </c>
      <c r="D29" s="3">
        <v>9</v>
      </c>
      <c r="E29" s="3">
        <v>3300000</v>
      </c>
      <c r="F29" s="3" t="s">
        <v>15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3" t="s">
        <v>87</v>
      </c>
      <c r="B30" s="3" t="s">
        <v>32</v>
      </c>
      <c r="C30" s="3" t="s">
        <v>88</v>
      </c>
      <c r="D30" s="3">
        <v>5</v>
      </c>
      <c r="E30" s="3">
        <v>2500000</v>
      </c>
      <c r="F30" s="3" t="s">
        <v>19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3" t="s">
        <v>89</v>
      </c>
      <c r="B31" s="3" t="s">
        <v>36</v>
      </c>
      <c r="C31" s="3" t="s">
        <v>90</v>
      </c>
      <c r="D31" s="3">
        <v>8</v>
      </c>
      <c r="E31" s="3">
        <v>3600000</v>
      </c>
      <c r="F31" s="3" t="s">
        <v>23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3" t="s">
        <v>91</v>
      </c>
      <c r="B32" s="3" t="s">
        <v>51</v>
      </c>
      <c r="C32" s="3" t="s">
        <v>92</v>
      </c>
      <c r="D32" s="3">
        <v>14</v>
      </c>
      <c r="E32" s="3">
        <v>6700000</v>
      </c>
      <c r="F32" s="3" t="s">
        <v>30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3" t="s">
        <v>93</v>
      </c>
      <c r="B33" s="3" t="s">
        <v>54</v>
      </c>
      <c r="C33" s="3" t="s">
        <v>94</v>
      </c>
      <c r="D33" s="3">
        <v>4</v>
      </c>
      <c r="E33" s="3">
        <v>2100000</v>
      </c>
      <c r="F33" s="3" t="s">
        <v>34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3" t="s">
        <v>95</v>
      </c>
      <c r="B34" s="3" t="s">
        <v>57</v>
      </c>
      <c r="C34" s="3" t="s">
        <v>96</v>
      </c>
      <c r="D34" s="3">
        <v>7</v>
      </c>
      <c r="E34" s="3">
        <v>3000000</v>
      </c>
      <c r="F34" s="3" t="s">
        <v>42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3" t="s">
        <v>97</v>
      </c>
      <c r="B35" s="3" t="s">
        <v>40</v>
      </c>
      <c r="C35" s="3" t="s">
        <v>98</v>
      </c>
      <c r="D35" s="3">
        <v>6</v>
      </c>
      <c r="E35" s="3">
        <v>2800000</v>
      </c>
      <c r="F35" s="3" t="s">
        <v>38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3" t="s">
        <v>99</v>
      </c>
      <c r="B36" s="3" t="s">
        <v>7</v>
      </c>
      <c r="C36" s="3" t="s">
        <v>100</v>
      </c>
      <c r="D36" s="3">
        <v>11</v>
      </c>
      <c r="E36" s="3">
        <v>4200000</v>
      </c>
      <c r="F36" s="3" t="s">
        <v>9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3" t="s">
        <v>101</v>
      </c>
      <c r="B37" s="3" t="s">
        <v>46</v>
      </c>
      <c r="C37" s="3" t="s">
        <v>102</v>
      </c>
      <c r="D37" s="3">
        <v>12</v>
      </c>
      <c r="E37" s="3">
        <v>5000000</v>
      </c>
      <c r="F37" s="3" t="s">
        <v>15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3" t="s">
        <v>103</v>
      </c>
      <c r="B38" s="3" t="s">
        <v>25</v>
      </c>
      <c r="C38" s="3" t="s">
        <v>104</v>
      </c>
      <c r="D38" s="3">
        <v>18</v>
      </c>
      <c r="E38" s="3">
        <v>8900000</v>
      </c>
      <c r="F38" s="3" t="s">
        <v>19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3" t="s">
        <v>105</v>
      </c>
      <c r="B39" s="3" t="s">
        <v>28</v>
      </c>
      <c r="C39" s="3" t="s">
        <v>106</v>
      </c>
      <c r="D39" s="3">
        <v>9</v>
      </c>
      <c r="E39" s="3">
        <v>3400000</v>
      </c>
      <c r="F39" s="3" t="s">
        <v>23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3" t="s">
        <v>107</v>
      </c>
      <c r="B40" s="3" t="s">
        <v>62</v>
      </c>
      <c r="C40" s="3" t="s">
        <v>108</v>
      </c>
      <c r="D40" s="3">
        <v>5</v>
      </c>
      <c r="E40" s="3">
        <v>2400000</v>
      </c>
      <c r="F40" s="3" t="s">
        <v>30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3" t="s">
        <v>109</v>
      </c>
      <c r="B41" s="3" t="s">
        <v>65</v>
      </c>
      <c r="C41" s="3" t="s">
        <v>110</v>
      </c>
      <c r="D41" s="3">
        <v>6</v>
      </c>
      <c r="E41" s="3">
        <v>2600000</v>
      </c>
      <c r="F41" s="3" t="s">
        <v>34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3" t="s">
        <v>111</v>
      </c>
      <c r="B42" s="3" t="s">
        <v>68</v>
      </c>
      <c r="C42" s="3" t="s">
        <v>112</v>
      </c>
      <c r="D42" s="3">
        <v>10</v>
      </c>
      <c r="E42" s="3">
        <v>4700000</v>
      </c>
      <c r="F42" s="3" t="s">
        <v>42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3" t="s">
        <v>113</v>
      </c>
      <c r="B43" s="3" t="s">
        <v>71</v>
      </c>
      <c r="C43" s="3" t="s">
        <v>114</v>
      </c>
      <c r="D43" s="3">
        <v>3</v>
      </c>
      <c r="E43" s="3">
        <v>1800000</v>
      </c>
      <c r="F43" s="3" t="s">
        <v>38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3" t="s">
        <v>115</v>
      </c>
      <c r="B44" s="3" t="s">
        <v>40</v>
      </c>
      <c r="C44" s="3" t="s">
        <v>116</v>
      </c>
      <c r="D44" s="3">
        <v>8</v>
      </c>
      <c r="E44" s="3">
        <v>3500000</v>
      </c>
      <c r="F44" s="3" t="s">
        <v>9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3" t="s">
        <v>117</v>
      </c>
      <c r="B45" s="3" t="s">
        <v>13</v>
      </c>
      <c r="C45" s="3" t="s">
        <v>118</v>
      </c>
      <c r="D45" s="3">
        <v>16</v>
      </c>
      <c r="E45" s="3">
        <v>7100000</v>
      </c>
      <c r="F45" s="3" t="s">
        <v>15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3" t="s">
        <v>119</v>
      </c>
      <c r="B46" s="3" t="s">
        <v>17</v>
      </c>
      <c r="C46" s="3" t="s">
        <v>120</v>
      </c>
      <c r="D46" s="3">
        <v>14</v>
      </c>
      <c r="E46" s="3">
        <v>6800000</v>
      </c>
      <c r="F46" s="3" t="s">
        <v>19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3" t="s">
        <v>121</v>
      </c>
      <c r="B47" s="3" t="s">
        <v>7</v>
      </c>
      <c r="C47" s="3" t="s">
        <v>122</v>
      </c>
      <c r="D47" s="3">
        <v>7</v>
      </c>
      <c r="E47" s="3">
        <v>3100000</v>
      </c>
      <c r="F47" s="3" t="s">
        <v>23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3" t="s">
        <v>123</v>
      </c>
      <c r="B48" s="3" t="s">
        <v>36</v>
      </c>
      <c r="C48" s="3" t="s">
        <v>124</v>
      </c>
      <c r="D48" s="3">
        <v>9</v>
      </c>
      <c r="E48" s="3">
        <v>3900000</v>
      </c>
      <c r="F48" s="3" t="s">
        <v>30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3" t="s">
        <v>125</v>
      </c>
      <c r="B49" s="3" t="s">
        <v>51</v>
      </c>
      <c r="C49" s="3" t="s">
        <v>126</v>
      </c>
      <c r="D49" s="3">
        <v>12</v>
      </c>
      <c r="E49" s="3">
        <v>5600000</v>
      </c>
      <c r="F49" s="3" t="s">
        <v>34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3" t="s">
        <v>127</v>
      </c>
      <c r="B50" s="3" t="s">
        <v>25</v>
      </c>
      <c r="C50" s="3" t="s">
        <v>128</v>
      </c>
      <c r="D50" s="3">
        <v>17</v>
      </c>
      <c r="E50" s="3">
        <v>8400000</v>
      </c>
      <c r="F50" s="3" t="s">
        <v>42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3" t="s">
        <v>129</v>
      </c>
      <c r="B51" s="3" t="s">
        <v>65</v>
      </c>
      <c r="C51" s="3" t="s">
        <v>130</v>
      </c>
      <c r="D51" s="3">
        <v>11</v>
      </c>
      <c r="E51" s="3">
        <v>4300000</v>
      </c>
      <c r="F51" s="3" t="s">
        <v>38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Mudit Computer</cp:lastModifiedBy>
  <dcterms:modified xsi:type="dcterms:W3CDTF">2026-02-27T01:31:49Z</dcterms:modified>
</cp:coreProperties>
</file>